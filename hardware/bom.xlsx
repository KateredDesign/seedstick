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3_ncr:1_{6FE36D82-2DDE-4AA9-A590-AE224409BC92}" xr6:coauthVersionLast="47" xr6:coauthVersionMax="47" xr10:uidLastSave="{00000000-0000-0000-0000-000000000000}"/>
  <bookViews>
    <workbookView xWindow="5137" yWindow="3945" windowWidth="18226" windowHeight="11333" xr2:uid="{00000000-000D-0000-FFFF-FFFF00000000}"/>
  </bookViews>
  <sheets>
    <sheet name="BOM" sheetId="1" r:id="rId1"/>
  </sheets>
  <definedNames>
    <definedName name="_xlnm._FilterDatabase" localSheetId="0" hidden="1">BOM!$A$4:$N$45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" i="1" l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47" i="1" s="1"/>
  <c r="J11" i="1"/>
  <c r="J10" i="1"/>
  <c r="J9" i="1"/>
  <c r="J8" i="1"/>
  <c r="J7" i="1"/>
  <c r="J6" i="1"/>
  <c r="J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SeedStick team</author>
  </authors>
  <commentList>
    <comment ref="I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AUD incl. GST. Website list prices unless a receipt is noted.</t>
        </r>
      </text>
    </comment>
  </commentList>
</comments>
</file>

<file path=xl/sharedStrings.xml><?xml version="1.0" encoding="utf-8"?>
<sst xmlns="http://schemas.openxmlformats.org/spreadsheetml/2006/main" count="394" uniqueCount="199">
  <si>
    <t>SeedStick - Bill of Materials (bought and supplied parts)</t>
  </si>
  <si>
    <t>Prices in AUD incl. GST. Printed parts and filament: see print-settings.md. Status: October 2026.</t>
  </si>
  <si>
    <t>No.</t>
  </si>
  <si>
    <t>Category</t>
  </si>
  <si>
    <t>Part</t>
  </si>
  <si>
    <t>Specification / part no.</t>
  </si>
  <si>
    <t>Used for</t>
  </si>
  <si>
    <t>Qty purchased</t>
  </si>
  <si>
    <t>Unit</t>
  </si>
  <si>
    <t>Qty used in SeedStick</t>
  </si>
  <si>
    <t>Unit price (AUD)</t>
  </si>
  <si>
    <t>Total price (AUD)</t>
  </si>
  <si>
    <t>Supplier</t>
  </si>
  <si>
    <t>Supply</t>
  </si>
  <si>
    <t>Price basis</t>
  </si>
  <si>
    <t>Notes</t>
  </si>
  <si>
    <t>P01</t>
  </si>
  <si>
    <t>Tubes</t>
  </si>
  <si>
    <t>Electrical conduit, grey, rigid, 25 mm Medium Duty</t>
  </si>
  <si>
    <t>DETA 4 m x 25 mm MD rigid PVC conduit, AS/NZS 2053 (Bunnings p0829448)</t>
  </si>
  <si>
    <t>Lower tube 554 mm, upper tube 300 mm</t>
  </si>
  <si>
    <t>length (4 m)</t>
  </si>
  <si>
    <t>0.854 m</t>
  </si>
  <si>
    <t>Bunnings</t>
  </si>
  <si>
    <t>Purchased</t>
  </si>
  <si>
    <t>List price (website)</t>
  </si>
  <si>
    <t>Bought 2026-10-07; rest of the length for the fit test</t>
  </si>
  <si>
    <t>P02</t>
  </si>
  <si>
    <t>Plain coupling for 25 mm conduit, grey</t>
  </si>
  <si>
    <t>DETA 25 mm grey PVC conduit plain coupling (Bunnings p0963383)</t>
  </si>
  <si>
    <t>Couplings A and B</t>
  </si>
  <si>
    <t>pcs</t>
  </si>
  <si>
    <t>Bought 2026-10-07; 2 spare</t>
  </si>
  <si>
    <t>P03</t>
  </si>
  <si>
    <t>Polycarbonate tube 22 ID x 25 OD x 305 mm</t>
  </si>
  <si>
    <t>uxcell, Amazon AU B08LYZ6KQ5</t>
  </si>
  <si>
    <t>Sight tube 140 mm, magazine tube 155 mm</t>
  </si>
  <si>
    <t>Amazon AU</t>
  </si>
  <si>
    <t>Ordered 2026-10-07</t>
  </si>
  <si>
    <t>P04</t>
  </si>
  <si>
    <t>Power</t>
  </si>
  <si>
    <t>Panel fuse holder M205 (5 x 20 mm), screw cap</t>
  </si>
  <si>
    <t>Jaycar SZ2030</t>
  </si>
  <si>
    <t>Fine fuse in the power module front</t>
  </si>
  <si>
    <t>Jaycar</t>
  </si>
  <si>
    <t>Jaycar list price</t>
  </si>
  <si>
    <t>P05</t>
  </si>
  <si>
    <t>Glass fuse 5 x 20 mm, T2A (slow blow)</t>
  </si>
  <si>
    <t>M205 T2A</t>
  </si>
  <si>
    <t>Fine fuse (one spare)</t>
  </si>
  <si>
    <t>Team entry</t>
  </si>
  <si>
    <t>P06</t>
  </si>
  <si>
    <t>Inline blade fuse holder (ATO) with leads</t>
  </si>
  <si>
    <t>Jaycar SZ2040</t>
  </si>
  <si>
    <t>Holds the circuit breaker in the power module</t>
  </si>
  <si>
    <t>P07</t>
  </si>
  <si>
    <t>Circuit breaker 10 A, manual reset, standard blade</t>
  </si>
  <si>
    <t>Jaycar SF2333</t>
  </si>
  <si>
    <t>Required breaker (rulebook 6.1)</t>
  </si>
  <si>
    <t>Price AU$6.59 incl. GST from a third-party listing (localworks.doublet.com.au), not Jaycar's own page</t>
  </si>
  <si>
    <t>P08</t>
  </si>
  <si>
    <t>Electronics</t>
  </si>
  <si>
    <t>Electrolytic capacitor 1000 uF, &gt;= 10 V, radial</t>
  </si>
  <si>
    <t>max. 10 x 20 mm</t>
  </si>
  <si>
    <t>Buffer at the servo (VSERVO)</t>
  </si>
  <si>
    <t>Jaycar or Core Electronics</t>
  </si>
  <si>
    <t>P09</t>
  </si>
  <si>
    <t>Electrolytic capacitor 470 uF, &gt;= 10 V, radial</t>
  </si>
  <si>
    <t>Buffer at the ESP32 5V pin (V5)</t>
  </si>
  <si>
    <t>P10</t>
  </si>
  <si>
    <t>Schottky diode 1N5819, 1 A 40 V</t>
  </si>
  <si>
    <t>Jaycar ZR1020</t>
  </si>
  <si>
    <t>Between VSERVO and the ESP32 5V pin</t>
  </si>
  <si>
    <t>Jaycar AU list price, single unit</t>
  </si>
  <si>
    <t>P11</t>
  </si>
  <si>
    <t>ESP32 development board, 38 pins, USB-C</t>
  </si>
  <si>
    <t>ESP32-WROOM (CP210x)</t>
  </si>
  <si>
    <t>Controller</t>
  </si>
  <si>
    <t>Build-a-thon basic kit / shop</t>
  </si>
  <si>
    <t>Event shop (ticket)</t>
  </si>
  <si>
    <t>No $ price (ticket / free)</t>
  </si>
  <si>
    <t>from the event shop</t>
  </si>
  <si>
    <t>P12</t>
  </si>
  <si>
    <t>Breadboard 400 holes</t>
  </si>
  <si>
    <t>half size</t>
  </si>
  <si>
    <t>Wiring in the handle housing</t>
  </si>
  <si>
    <t>Build-a-thon basic kit</t>
  </si>
  <si>
    <t>Basic kit (handed out week 2)</t>
  </si>
  <si>
    <t>P13</t>
  </si>
  <si>
    <t>Dupont jumper wires (F-M, M-M)</t>
  </si>
  <si>
    <t>Module connections, plug ends of the cables</t>
  </si>
  <si>
    <t>set</t>
  </si>
  <si>
    <t>some</t>
  </si>
  <si>
    <t>Basic kit</t>
  </si>
  <si>
    <t>P14</t>
  </si>
  <si>
    <t>USB-C cable</t>
  </si>
  <si>
    <t>Programming</t>
  </si>
  <si>
    <t>Basic kit; not built into the stick</t>
  </si>
  <si>
    <t>P15</t>
  </si>
  <si>
    <t>OLED display 0.96 inch, I2C (SSD1306)</t>
  </si>
  <si>
    <t>GM009605 v4.3, 128 x 64</t>
  </si>
  <si>
    <t>Display in the front panel</t>
  </si>
  <si>
    <t>Event shop</t>
  </si>
  <si>
    <t>A tier</t>
  </si>
  <si>
    <t>P16</t>
  </si>
  <si>
    <t>IR reflective sensor module TCRT5000</t>
  </si>
  <si>
    <t>3 pins (GND, OUT, VCC)</t>
  </si>
  <si>
    <t>Counts the balls (irClip)</t>
  </si>
  <si>
    <t>B tier</t>
  </si>
  <si>
    <t>P17</t>
  </si>
  <si>
    <t>Micro servo SG90</t>
  </si>
  <si>
    <t>Metering wheel</t>
  </si>
  <si>
    <t>P18</t>
  </si>
  <si>
    <t>Soil moisture sensor, capacitive v2.0</t>
  </si>
  <si>
    <t>HW-390 type</t>
  </si>
  <si>
    <t>Moisture in the soil (foot)</t>
  </si>
  <si>
    <t>P19</t>
  </si>
  <si>
    <t>Battery holder 4 x AA with leads</t>
  </si>
  <si>
    <t>Battery pack</t>
  </si>
  <si>
    <t>P20</t>
  </si>
  <si>
    <t>LED 5 mm, red and green</t>
  </si>
  <si>
    <t>Status LEDs in the front panel</t>
  </si>
  <si>
    <t>C tier</t>
  </si>
  <si>
    <t>P21</t>
  </si>
  <si>
    <t>Rocker switch (KCD11)</t>
  </si>
  <si>
    <t>Main switch</t>
  </si>
  <si>
    <t>P22</t>
  </si>
  <si>
    <t>Capacitive touch module TTP223</t>
  </si>
  <si>
    <t>Touch button on the handle</t>
  </si>
  <si>
    <t>P23</t>
  </si>
  <si>
    <t>Hardware</t>
  </si>
  <si>
    <t>Heat-set insert M2</t>
  </si>
  <si>
    <t>brass, 3.5 mm OD</t>
  </si>
  <si>
    <t>OLED bracket 2, servo cover 2</t>
  </si>
  <si>
    <t>MCIC Makerspace</t>
  </si>
  <si>
    <t>from the MCIC makerspace</t>
  </si>
  <si>
    <t>P24</t>
  </si>
  <si>
    <t>Heat-set insert M3</t>
  </si>
  <si>
    <t>brass, 5 mm OD</t>
  </si>
  <si>
    <t>Sight cover 4, battery lid 4</t>
  </si>
  <si>
    <t>P25</t>
  </si>
  <si>
    <t>Screw M2 x 6</t>
  </si>
  <si>
    <t>P26</t>
  </si>
  <si>
    <t>Screw M2 x 12</t>
  </si>
  <si>
    <t>Jaw pivots on the foot</t>
  </si>
  <si>
    <t>P27</t>
  </si>
  <si>
    <t>Screw M2.5 x 6</t>
  </si>
  <si>
    <t>IR module in the irClip</t>
  </si>
  <si>
    <t>P28</t>
  </si>
  <si>
    <t>Screw M2.5 x 8</t>
  </si>
  <si>
    <t>Front panel</t>
  </si>
  <si>
    <t>P29</t>
  </si>
  <si>
    <t>Screw M3 x 8</t>
  </si>
  <si>
    <t>P30</t>
  </si>
  <si>
    <t>Screw M4 x 20</t>
  </si>
  <si>
    <t>Grip clamps 3, power module 1, coupling clamps 8, foot 1, sensor holder 2</t>
  </si>
  <si>
    <t>P31</t>
  </si>
  <si>
    <t>Nut M4 (7 mm AF)</t>
  </si>
  <si>
    <t>With the M4 x 20 screws</t>
  </si>
  <si>
    <t>P32</t>
  </si>
  <si>
    <t>Nut M2.5 (5 mm AF)</t>
  </si>
  <si>
    <t>P33</t>
  </si>
  <si>
    <t>Resistor 150 ohm, 1/4 W</t>
  </si>
  <si>
    <t>LED series resistors</t>
  </si>
  <si>
    <t>P34</t>
  </si>
  <si>
    <t>Resistor 100 kohm, 1/4 W</t>
  </si>
  <si>
    <t>Battery voltage divider (GPIO 35)</t>
  </si>
  <si>
    <t>P35</t>
  </si>
  <si>
    <t>Consumables</t>
  </si>
  <si>
    <t>Hook-up wire 24 / 26 / 28 AWG (red, black, yellow, orange)</t>
  </si>
  <si>
    <t>Harness, moisture, IR, touch, LED cables</t>
  </si>
  <si>
    <t>about 1 m each</t>
  </si>
  <si>
    <t>Makerspace</t>
  </si>
  <si>
    <t>P36</t>
  </si>
  <si>
    <t>Solid wire 0.6 mm (22 AWG)</t>
  </si>
  <si>
    <t>4 bridges under the ESP32</t>
  </si>
  <si>
    <t>P37</t>
  </si>
  <si>
    <t>Pin header 2.54 mm, 3 pins</t>
  </si>
  <si>
    <t>Servo socket</t>
  </si>
  <si>
    <t>P38</t>
  </si>
  <si>
    <t>Solder, heat shrink 1.5-6 mm, hot glue</t>
  </si>
  <si>
    <t>Every solder joint, securing plugs</t>
  </si>
  <si>
    <t>little</t>
  </si>
  <si>
    <t>P39</t>
  </si>
  <si>
    <t>2-part epoxy (5 or 30 min)</t>
  </si>
  <si>
    <t>Horn glued into the metering wheel</t>
  </si>
  <si>
    <t>P40</t>
  </si>
  <si>
    <t>Laser part</t>
  </si>
  <si>
    <t>Acrylic (PMMA) 3 mm, clear, offcut approx. 70 x 70 mm</t>
  </si>
  <si>
    <t>hardware/laser/sight-cover.dxf</t>
  </si>
  <si>
    <t>Sight cover of the metering module (laser cut)</t>
  </si>
  <si>
    <t>Makerspace (laser)</t>
  </si>
  <si>
    <t>laser cut in the makerspace</t>
  </si>
  <si>
    <t>P41</t>
  </si>
  <si>
    <t>Cyanoacrylate glue (super glue) and 1.75 mm filament offcut</t>
  </si>
  <si>
    <t>Gluing the 12 dummy balls (2 pins of 4.6 mm each)</t>
  </si>
  <si>
    <t>for the printed dummy balls</t>
  </si>
  <si>
    <t>Total spent (purchased parts)</t>
  </si>
  <si>
    <t>Items from the event shop / MCIC makerspace / already owned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</si>
</sst>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&quot;-&quot;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6" fillId="0" borderId="0" xfId="0" applyFont="1"/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9"/>
  <sheetViews>
    <sheetView tabSelected="1" zoomScale="85" zoomScaleNormal="85" workbookViewId="0">
      <pane xSplit="3" ySplit="4" topLeftCell="D5" activePane="bottomRight" state="frozen"/>
      <selection pane="topRight"/>
      <selection pane="bottomLeft"/>
      <selection pane="bottomRight" activeCell="E27" sqref="E27"/>
    </sheetView>
  </sheetViews>
  <sheetFormatPr defaultRowHeight="14.25" x14ac:dyDescent="0.45"/>
  <cols>
    <col min="1" max="1" width="6" customWidth="1"/>
    <col min="2" max="2" width="12" customWidth="1"/>
    <col min="3" max="3" width="34" customWidth="1"/>
    <col min="4" max="4" width="30" customWidth="1"/>
    <col min="5" max="5" width="34" customWidth="1"/>
    <col min="6" max="6" width="10" customWidth="1"/>
    <col min="7" max="8" width="12" customWidth="1"/>
    <col min="9" max="10" width="11" customWidth="1"/>
    <col min="11" max="13" width="18" customWidth="1"/>
    <col min="14" max="14" width="38" customWidth="1"/>
  </cols>
  <sheetData>
    <row r="1" spans="1:14" ht="17.649999999999999" customHeight="1" x14ac:dyDescent="0.5">
      <c r="A1" s="1" t="s">
        <v>0</v>
      </c>
    </row>
    <row r="2" spans="1:14" x14ac:dyDescent="0.45">
      <c r="A2" s="2" t="s">
        <v>1</v>
      </c>
    </row>
    <row r="4" spans="1:14" ht="30" customHeight="1" x14ac:dyDescent="0.4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4" ht="38.25" customHeight="1" x14ac:dyDescent="0.45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5">
        <v>1</v>
      </c>
      <c r="G5" s="4" t="s">
        <v>21</v>
      </c>
      <c r="H5" s="4" t="s">
        <v>22</v>
      </c>
      <c r="I5" s="6">
        <v>6.57</v>
      </c>
      <c r="J5" s="7">
        <f t="shared" ref="J5:J45" si="0">IF(I5="","",F5*I5)</f>
        <v>6.57</v>
      </c>
      <c r="K5" s="4" t="s">
        <v>23</v>
      </c>
      <c r="L5" s="4" t="s">
        <v>24</v>
      </c>
      <c r="M5" s="4" t="s">
        <v>25</v>
      </c>
      <c r="N5" s="4" t="s">
        <v>26</v>
      </c>
    </row>
    <row r="6" spans="1:14" ht="25.5" customHeight="1" x14ac:dyDescent="0.45">
      <c r="A6" s="4" t="s">
        <v>27</v>
      </c>
      <c r="B6" s="4" t="s">
        <v>17</v>
      </c>
      <c r="C6" s="4" t="s">
        <v>28</v>
      </c>
      <c r="D6" s="4" t="s">
        <v>29</v>
      </c>
      <c r="E6" s="4" t="s">
        <v>30</v>
      </c>
      <c r="F6" s="5">
        <v>4</v>
      </c>
      <c r="G6" s="4" t="s">
        <v>31</v>
      </c>
      <c r="H6" s="5">
        <v>2</v>
      </c>
      <c r="I6" s="6">
        <v>0.35</v>
      </c>
      <c r="J6" s="7">
        <f t="shared" si="0"/>
        <v>1.4</v>
      </c>
      <c r="K6" s="4" t="s">
        <v>23</v>
      </c>
      <c r="L6" s="4" t="s">
        <v>24</v>
      </c>
      <c r="M6" s="4" t="s">
        <v>25</v>
      </c>
      <c r="N6" s="4" t="s">
        <v>32</v>
      </c>
    </row>
    <row r="7" spans="1:14" ht="25.5" customHeight="1" x14ac:dyDescent="0.45">
      <c r="A7" s="4" t="s">
        <v>33</v>
      </c>
      <c r="B7" s="4" t="s">
        <v>17</v>
      </c>
      <c r="C7" s="4" t="s">
        <v>34</v>
      </c>
      <c r="D7" s="4" t="s">
        <v>35</v>
      </c>
      <c r="E7" s="4" t="s">
        <v>36</v>
      </c>
      <c r="F7" s="5">
        <v>1</v>
      </c>
      <c r="G7" s="4" t="s">
        <v>31</v>
      </c>
      <c r="H7" s="5">
        <v>1</v>
      </c>
      <c r="I7" s="6">
        <v>25.19</v>
      </c>
      <c r="J7" s="7">
        <f t="shared" si="0"/>
        <v>25.19</v>
      </c>
      <c r="K7" s="4" t="s">
        <v>37</v>
      </c>
      <c r="L7" s="4" t="s">
        <v>24</v>
      </c>
      <c r="M7" s="4" t="s">
        <v>25</v>
      </c>
      <c r="N7" s="4" t="s">
        <v>38</v>
      </c>
    </row>
    <row r="8" spans="1:14" ht="25.5" customHeight="1" x14ac:dyDescent="0.45">
      <c r="A8" s="4" t="s">
        <v>39</v>
      </c>
      <c r="B8" s="4" t="s">
        <v>40</v>
      </c>
      <c r="C8" s="4" t="s">
        <v>41</v>
      </c>
      <c r="D8" s="4" t="s">
        <v>42</v>
      </c>
      <c r="E8" s="4" t="s">
        <v>43</v>
      </c>
      <c r="F8" s="5">
        <v>1</v>
      </c>
      <c r="G8" s="4" t="s">
        <v>31</v>
      </c>
      <c r="H8" s="5">
        <v>1</v>
      </c>
      <c r="I8" s="6">
        <v>2.35</v>
      </c>
      <c r="J8" s="7">
        <f t="shared" si="0"/>
        <v>2.35</v>
      </c>
      <c r="K8" s="4" t="s">
        <v>44</v>
      </c>
      <c r="L8" s="4" t="s">
        <v>24</v>
      </c>
      <c r="M8" s="4" t="s">
        <v>25</v>
      </c>
      <c r="N8" s="4" t="s">
        <v>45</v>
      </c>
    </row>
    <row r="9" spans="1:14" x14ac:dyDescent="0.45">
      <c r="A9" s="4" t="s">
        <v>46</v>
      </c>
      <c r="B9" s="4" t="s">
        <v>40</v>
      </c>
      <c r="C9" s="4" t="s">
        <v>47</v>
      </c>
      <c r="D9" s="4" t="s">
        <v>48</v>
      </c>
      <c r="E9" s="4" t="s">
        <v>49</v>
      </c>
      <c r="F9" s="5">
        <v>2</v>
      </c>
      <c r="G9" s="4" t="s">
        <v>31</v>
      </c>
      <c r="H9" s="5">
        <v>1</v>
      </c>
      <c r="I9" s="6">
        <v>1.4</v>
      </c>
      <c r="J9" s="7">
        <f t="shared" si="0"/>
        <v>2.8</v>
      </c>
      <c r="K9" s="4" t="s">
        <v>44</v>
      </c>
      <c r="L9" s="4" t="s">
        <v>24</v>
      </c>
      <c r="M9" s="4" t="s">
        <v>50</v>
      </c>
      <c r="N9" s="4"/>
    </row>
    <row r="10" spans="1:14" ht="25.5" customHeight="1" x14ac:dyDescent="0.45">
      <c r="A10" s="4" t="s">
        <v>51</v>
      </c>
      <c r="B10" s="4" t="s">
        <v>40</v>
      </c>
      <c r="C10" s="4" t="s">
        <v>52</v>
      </c>
      <c r="D10" s="4" t="s">
        <v>53</v>
      </c>
      <c r="E10" s="4" t="s">
        <v>54</v>
      </c>
      <c r="F10" s="5">
        <v>1</v>
      </c>
      <c r="G10" s="4" t="s">
        <v>31</v>
      </c>
      <c r="H10" s="5">
        <v>1</v>
      </c>
      <c r="I10" s="6">
        <v>4.0999999999999996</v>
      </c>
      <c r="J10" s="7">
        <f t="shared" si="0"/>
        <v>4.0999999999999996</v>
      </c>
      <c r="K10" s="4" t="s">
        <v>44</v>
      </c>
      <c r="L10" s="4" t="s">
        <v>24</v>
      </c>
      <c r="M10" s="4" t="s">
        <v>25</v>
      </c>
      <c r="N10" s="4" t="s">
        <v>45</v>
      </c>
    </row>
    <row r="11" spans="1:14" ht="38.25" customHeight="1" x14ac:dyDescent="0.45">
      <c r="A11" s="4" t="s">
        <v>55</v>
      </c>
      <c r="B11" s="4" t="s">
        <v>40</v>
      </c>
      <c r="C11" s="4" t="s">
        <v>56</v>
      </c>
      <c r="D11" s="4" t="s">
        <v>57</v>
      </c>
      <c r="E11" s="4" t="s">
        <v>58</v>
      </c>
      <c r="F11" s="5">
        <v>1</v>
      </c>
      <c r="G11" s="4" t="s">
        <v>31</v>
      </c>
      <c r="H11" s="5">
        <v>1</v>
      </c>
      <c r="I11" s="6">
        <v>6.59</v>
      </c>
      <c r="J11" s="7">
        <f t="shared" si="0"/>
        <v>6.59</v>
      </c>
      <c r="K11" s="4" t="s">
        <v>44</v>
      </c>
      <c r="L11" s="4" t="s">
        <v>24</v>
      </c>
      <c r="M11" s="4" t="s">
        <v>25</v>
      </c>
      <c r="N11" s="4" t="s">
        <v>59</v>
      </c>
    </row>
    <row r="12" spans="1:14" ht="25.5" customHeight="1" x14ac:dyDescent="0.45">
      <c r="A12" s="4" t="s">
        <v>60</v>
      </c>
      <c r="B12" s="4" t="s">
        <v>61</v>
      </c>
      <c r="C12" s="4" t="s">
        <v>62</v>
      </c>
      <c r="D12" s="4" t="s">
        <v>63</v>
      </c>
      <c r="E12" s="4" t="s">
        <v>64</v>
      </c>
      <c r="F12" s="5">
        <v>2</v>
      </c>
      <c r="G12" s="4" t="s">
        <v>31</v>
      </c>
      <c r="H12" s="5">
        <v>1</v>
      </c>
      <c r="I12" s="6">
        <v>0.85</v>
      </c>
      <c r="J12" s="7">
        <f t="shared" si="0"/>
        <v>1.7</v>
      </c>
      <c r="K12" s="4" t="s">
        <v>65</v>
      </c>
      <c r="L12" s="4" t="s">
        <v>24</v>
      </c>
      <c r="M12" s="4" t="s">
        <v>50</v>
      </c>
      <c r="N12" s="4"/>
    </row>
    <row r="13" spans="1:14" ht="25.5" customHeight="1" x14ac:dyDescent="0.45">
      <c r="A13" s="4" t="s">
        <v>66</v>
      </c>
      <c r="B13" s="4" t="s">
        <v>61</v>
      </c>
      <c r="C13" s="4" t="s">
        <v>67</v>
      </c>
      <c r="D13" s="4"/>
      <c r="E13" s="4" t="s">
        <v>68</v>
      </c>
      <c r="F13" s="5">
        <v>2</v>
      </c>
      <c r="G13" s="4" t="s">
        <v>31</v>
      </c>
      <c r="H13" s="5">
        <v>1</v>
      </c>
      <c r="I13" s="6">
        <v>0.5</v>
      </c>
      <c r="J13" s="7">
        <f t="shared" si="0"/>
        <v>1</v>
      </c>
      <c r="K13" s="4" t="s">
        <v>65</v>
      </c>
      <c r="L13" s="4" t="s">
        <v>24</v>
      </c>
      <c r="M13" s="4" t="s">
        <v>50</v>
      </c>
      <c r="N13" s="4"/>
    </row>
    <row r="14" spans="1:14" ht="25.5" customHeight="1" x14ac:dyDescent="0.45">
      <c r="A14" s="4" t="s">
        <v>69</v>
      </c>
      <c r="B14" s="4" t="s">
        <v>61</v>
      </c>
      <c r="C14" s="4" t="s">
        <v>70</v>
      </c>
      <c r="D14" s="4" t="s">
        <v>71</v>
      </c>
      <c r="E14" s="4" t="s">
        <v>72</v>
      </c>
      <c r="F14" s="5">
        <v>2</v>
      </c>
      <c r="G14" s="4" t="s">
        <v>31</v>
      </c>
      <c r="H14" s="5">
        <v>1</v>
      </c>
      <c r="I14" s="6">
        <v>0.8</v>
      </c>
      <c r="J14" s="7">
        <f t="shared" si="0"/>
        <v>1.6</v>
      </c>
      <c r="K14" s="4" t="s">
        <v>44</v>
      </c>
      <c r="L14" s="4" t="s">
        <v>24</v>
      </c>
      <c r="M14" s="4" t="s">
        <v>25</v>
      </c>
      <c r="N14" s="4" t="s">
        <v>73</v>
      </c>
    </row>
    <row r="15" spans="1:14" ht="25.5" customHeight="1" x14ac:dyDescent="0.45">
      <c r="A15" s="4" t="s">
        <v>74</v>
      </c>
      <c r="B15" s="4" t="s">
        <v>61</v>
      </c>
      <c r="C15" s="4" t="s">
        <v>75</v>
      </c>
      <c r="D15" s="4" t="s">
        <v>76</v>
      </c>
      <c r="E15" s="4" t="s">
        <v>77</v>
      </c>
      <c r="F15" s="5">
        <v>1</v>
      </c>
      <c r="G15" s="4" t="s">
        <v>31</v>
      </c>
      <c r="H15" s="5">
        <v>1</v>
      </c>
      <c r="I15" s="6">
        <v>0</v>
      </c>
      <c r="J15" s="7">
        <f t="shared" si="0"/>
        <v>0</v>
      </c>
      <c r="K15" s="4" t="s">
        <v>78</v>
      </c>
      <c r="L15" s="4" t="s">
        <v>79</v>
      </c>
      <c r="M15" s="4" t="s">
        <v>80</v>
      </c>
      <c r="N15" s="4" t="s">
        <v>81</v>
      </c>
    </row>
    <row r="16" spans="1:14" ht="25.5" customHeight="1" x14ac:dyDescent="0.45">
      <c r="A16" s="4" t="s">
        <v>82</v>
      </c>
      <c r="B16" s="4" t="s">
        <v>61</v>
      </c>
      <c r="C16" s="4" t="s">
        <v>83</v>
      </c>
      <c r="D16" s="4" t="s">
        <v>84</v>
      </c>
      <c r="E16" s="4" t="s">
        <v>85</v>
      </c>
      <c r="F16" s="5">
        <v>1</v>
      </c>
      <c r="G16" s="4" t="s">
        <v>31</v>
      </c>
      <c r="H16" s="5">
        <v>1</v>
      </c>
      <c r="I16" s="6">
        <v>0</v>
      </c>
      <c r="J16" s="7">
        <f t="shared" si="0"/>
        <v>0</v>
      </c>
      <c r="K16" s="4" t="s">
        <v>86</v>
      </c>
      <c r="L16" s="4" t="s">
        <v>79</v>
      </c>
      <c r="M16" s="4" t="s">
        <v>80</v>
      </c>
      <c r="N16" s="4" t="s">
        <v>87</v>
      </c>
    </row>
    <row r="17" spans="1:14" ht="25.5" customHeight="1" x14ac:dyDescent="0.45">
      <c r="A17" s="4" t="s">
        <v>88</v>
      </c>
      <c r="B17" s="4" t="s">
        <v>61</v>
      </c>
      <c r="C17" s="4" t="s">
        <v>89</v>
      </c>
      <c r="D17" s="4"/>
      <c r="E17" s="4" t="s">
        <v>90</v>
      </c>
      <c r="F17" s="5">
        <v>1</v>
      </c>
      <c r="G17" s="4" t="s">
        <v>91</v>
      </c>
      <c r="H17" s="4" t="s">
        <v>92</v>
      </c>
      <c r="I17" s="6">
        <v>0</v>
      </c>
      <c r="J17" s="7">
        <f t="shared" si="0"/>
        <v>0</v>
      </c>
      <c r="K17" s="4" t="s">
        <v>86</v>
      </c>
      <c r="L17" s="4" t="s">
        <v>79</v>
      </c>
      <c r="M17" s="4" t="s">
        <v>80</v>
      </c>
      <c r="N17" s="4" t="s">
        <v>93</v>
      </c>
    </row>
    <row r="18" spans="1:14" ht="25.5" customHeight="1" x14ac:dyDescent="0.45">
      <c r="A18" s="4" t="s">
        <v>94</v>
      </c>
      <c r="B18" s="4" t="s">
        <v>61</v>
      </c>
      <c r="C18" s="4" t="s">
        <v>95</v>
      </c>
      <c r="D18" s="4"/>
      <c r="E18" s="4" t="s">
        <v>96</v>
      </c>
      <c r="F18" s="5">
        <v>1</v>
      </c>
      <c r="G18" s="4" t="s">
        <v>31</v>
      </c>
      <c r="H18" s="5">
        <v>0</v>
      </c>
      <c r="I18" s="6">
        <v>0</v>
      </c>
      <c r="J18" s="7">
        <f t="shared" si="0"/>
        <v>0</v>
      </c>
      <c r="K18" s="4" t="s">
        <v>86</v>
      </c>
      <c r="L18" s="4" t="s">
        <v>79</v>
      </c>
      <c r="M18" s="4" t="s">
        <v>80</v>
      </c>
      <c r="N18" s="4" t="s">
        <v>97</v>
      </c>
    </row>
    <row r="19" spans="1:14" ht="25.5" customHeight="1" x14ac:dyDescent="0.45">
      <c r="A19" s="4" t="s">
        <v>98</v>
      </c>
      <c r="B19" s="4" t="s">
        <v>61</v>
      </c>
      <c r="C19" s="4" t="s">
        <v>99</v>
      </c>
      <c r="D19" s="4" t="s">
        <v>100</v>
      </c>
      <c r="E19" s="4" t="s">
        <v>101</v>
      </c>
      <c r="F19" s="5">
        <v>1</v>
      </c>
      <c r="G19" s="4" t="s">
        <v>31</v>
      </c>
      <c r="H19" s="5">
        <v>1</v>
      </c>
      <c r="I19" s="6">
        <v>0</v>
      </c>
      <c r="J19" s="7">
        <f t="shared" si="0"/>
        <v>0</v>
      </c>
      <c r="K19" s="4" t="s">
        <v>102</v>
      </c>
      <c r="L19" s="4" t="s">
        <v>79</v>
      </c>
      <c r="M19" s="4" t="s">
        <v>80</v>
      </c>
      <c r="N19" s="4" t="s">
        <v>103</v>
      </c>
    </row>
    <row r="20" spans="1:14" ht="25.5" customHeight="1" x14ac:dyDescent="0.45">
      <c r="A20" s="4" t="s">
        <v>104</v>
      </c>
      <c r="B20" s="4" t="s">
        <v>61</v>
      </c>
      <c r="C20" s="4" t="s">
        <v>105</v>
      </c>
      <c r="D20" s="4" t="s">
        <v>106</v>
      </c>
      <c r="E20" s="4" t="s">
        <v>107</v>
      </c>
      <c r="F20" s="5">
        <v>1</v>
      </c>
      <c r="G20" s="4" t="s">
        <v>31</v>
      </c>
      <c r="H20" s="5">
        <v>1</v>
      </c>
      <c r="I20" s="6">
        <v>0</v>
      </c>
      <c r="J20" s="7">
        <f t="shared" si="0"/>
        <v>0</v>
      </c>
      <c r="K20" s="4" t="s">
        <v>102</v>
      </c>
      <c r="L20" s="4" t="s">
        <v>79</v>
      </c>
      <c r="M20" s="4" t="s">
        <v>80</v>
      </c>
      <c r="N20" s="4" t="s">
        <v>108</v>
      </c>
    </row>
    <row r="21" spans="1:14" ht="25.5" customHeight="1" x14ac:dyDescent="0.45">
      <c r="A21" s="4" t="s">
        <v>109</v>
      </c>
      <c r="B21" s="4" t="s">
        <v>61</v>
      </c>
      <c r="C21" s="4" t="s">
        <v>110</v>
      </c>
      <c r="D21" s="4"/>
      <c r="E21" s="4" t="s">
        <v>111</v>
      </c>
      <c r="F21" s="5">
        <v>1</v>
      </c>
      <c r="G21" s="4" t="s">
        <v>31</v>
      </c>
      <c r="H21" s="5">
        <v>1</v>
      </c>
      <c r="I21" s="6">
        <v>0</v>
      </c>
      <c r="J21" s="7">
        <f t="shared" si="0"/>
        <v>0</v>
      </c>
      <c r="K21" s="4" t="s">
        <v>102</v>
      </c>
      <c r="L21" s="4" t="s">
        <v>79</v>
      </c>
      <c r="M21" s="4" t="s">
        <v>80</v>
      </c>
      <c r="N21" s="4" t="s">
        <v>108</v>
      </c>
    </row>
    <row r="22" spans="1:14" ht="25.5" customHeight="1" x14ac:dyDescent="0.45">
      <c r="A22" s="4" t="s">
        <v>112</v>
      </c>
      <c r="B22" s="4" t="s">
        <v>61</v>
      </c>
      <c r="C22" s="4" t="s">
        <v>113</v>
      </c>
      <c r="D22" s="4" t="s">
        <v>114</v>
      </c>
      <c r="E22" s="4" t="s">
        <v>115</v>
      </c>
      <c r="F22" s="5">
        <v>1</v>
      </c>
      <c r="G22" s="4" t="s">
        <v>31</v>
      </c>
      <c r="H22" s="5">
        <v>1</v>
      </c>
      <c r="I22" s="6">
        <v>0</v>
      </c>
      <c r="J22" s="7">
        <f t="shared" si="0"/>
        <v>0</v>
      </c>
      <c r="K22" s="4" t="s">
        <v>102</v>
      </c>
      <c r="L22" s="4" t="s">
        <v>79</v>
      </c>
      <c r="M22" s="4" t="s">
        <v>80</v>
      </c>
      <c r="N22" s="4" t="s">
        <v>81</v>
      </c>
    </row>
    <row r="23" spans="1:14" ht="25.5" customHeight="1" x14ac:dyDescent="0.45">
      <c r="A23" s="4" t="s">
        <v>116</v>
      </c>
      <c r="B23" s="4" t="s">
        <v>40</v>
      </c>
      <c r="C23" s="4" t="s">
        <v>117</v>
      </c>
      <c r="D23" s="4"/>
      <c r="E23" s="4" t="s">
        <v>118</v>
      </c>
      <c r="F23" s="5">
        <v>1</v>
      </c>
      <c r="G23" s="4" t="s">
        <v>31</v>
      </c>
      <c r="H23" s="5">
        <v>1</v>
      </c>
      <c r="I23" s="6">
        <v>0</v>
      </c>
      <c r="J23" s="7">
        <f t="shared" si="0"/>
        <v>0</v>
      </c>
      <c r="K23" s="4" t="s">
        <v>102</v>
      </c>
      <c r="L23" s="4" t="s">
        <v>79</v>
      </c>
      <c r="M23" s="4" t="s">
        <v>80</v>
      </c>
      <c r="N23" s="4" t="s">
        <v>108</v>
      </c>
    </row>
    <row r="24" spans="1:14" ht="25.5" customHeight="1" x14ac:dyDescent="0.45">
      <c r="A24" s="4" t="s">
        <v>119</v>
      </c>
      <c r="B24" s="4" t="s">
        <v>61</v>
      </c>
      <c r="C24" s="4" t="s">
        <v>120</v>
      </c>
      <c r="D24" s="4"/>
      <c r="E24" s="4" t="s">
        <v>121</v>
      </c>
      <c r="F24" s="5">
        <v>2</v>
      </c>
      <c r="G24" s="4" t="s">
        <v>31</v>
      </c>
      <c r="H24" s="5">
        <v>2</v>
      </c>
      <c r="I24" s="6">
        <v>0</v>
      </c>
      <c r="J24" s="7">
        <f t="shared" si="0"/>
        <v>0</v>
      </c>
      <c r="K24" s="4" t="s">
        <v>102</v>
      </c>
      <c r="L24" s="4" t="s">
        <v>79</v>
      </c>
      <c r="M24" s="4" t="s">
        <v>80</v>
      </c>
      <c r="N24" s="4" t="s">
        <v>122</v>
      </c>
    </row>
    <row r="25" spans="1:14" ht="25.5" customHeight="1" x14ac:dyDescent="0.45">
      <c r="A25" s="4" t="s">
        <v>123</v>
      </c>
      <c r="B25" s="4" t="s">
        <v>40</v>
      </c>
      <c r="C25" s="4" t="s">
        <v>124</v>
      </c>
      <c r="D25" s="4"/>
      <c r="E25" s="4" t="s">
        <v>125</v>
      </c>
      <c r="F25" s="5">
        <v>1</v>
      </c>
      <c r="G25" s="4" t="s">
        <v>31</v>
      </c>
      <c r="H25" s="5">
        <v>1</v>
      </c>
      <c r="I25" s="6">
        <v>0</v>
      </c>
      <c r="J25" s="7">
        <f t="shared" si="0"/>
        <v>0</v>
      </c>
      <c r="K25" s="4" t="s">
        <v>102</v>
      </c>
      <c r="L25" s="4" t="s">
        <v>79</v>
      </c>
      <c r="M25" s="4" t="s">
        <v>80</v>
      </c>
      <c r="N25" s="4" t="s">
        <v>122</v>
      </c>
    </row>
    <row r="26" spans="1:14" ht="25.5" customHeight="1" x14ac:dyDescent="0.45">
      <c r="A26" s="4" t="s">
        <v>126</v>
      </c>
      <c r="B26" s="4" t="s">
        <v>61</v>
      </c>
      <c r="C26" s="4" t="s">
        <v>127</v>
      </c>
      <c r="D26" s="4"/>
      <c r="E26" s="4" t="s">
        <v>128</v>
      </c>
      <c r="F26" s="5">
        <v>1</v>
      </c>
      <c r="G26" s="4" t="s">
        <v>31</v>
      </c>
      <c r="H26" s="5">
        <v>1</v>
      </c>
      <c r="I26" s="6">
        <v>0</v>
      </c>
      <c r="J26" s="7">
        <f t="shared" si="0"/>
        <v>0</v>
      </c>
      <c r="K26" s="4" t="s">
        <v>102</v>
      </c>
      <c r="L26" s="4" t="s">
        <v>79</v>
      </c>
      <c r="M26" s="4" t="s">
        <v>80</v>
      </c>
      <c r="N26" s="4" t="s">
        <v>122</v>
      </c>
    </row>
    <row r="27" spans="1:14" ht="25.5" customHeight="1" x14ac:dyDescent="0.4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133</v>
      </c>
      <c r="F27" s="5">
        <v>4</v>
      </c>
      <c r="G27" s="4" t="s">
        <v>31</v>
      </c>
      <c r="H27" s="5">
        <v>4</v>
      </c>
      <c r="I27" s="6">
        <v>0</v>
      </c>
      <c r="J27" s="7">
        <f t="shared" si="0"/>
        <v>0</v>
      </c>
      <c r="K27" s="4" t="s">
        <v>134</v>
      </c>
      <c r="L27" s="4" t="s">
        <v>134</v>
      </c>
      <c r="M27" s="4" t="s">
        <v>80</v>
      </c>
      <c r="N27" s="4" t="s">
        <v>135</v>
      </c>
    </row>
    <row r="28" spans="1:14" ht="25.5" customHeight="1" x14ac:dyDescent="0.45">
      <c r="A28" s="4" t="s">
        <v>136</v>
      </c>
      <c r="B28" s="4" t="s">
        <v>130</v>
      </c>
      <c r="C28" s="4" t="s">
        <v>137</v>
      </c>
      <c r="D28" s="4" t="s">
        <v>138</v>
      </c>
      <c r="E28" s="4" t="s">
        <v>139</v>
      </c>
      <c r="F28" s="5">
        <v>8</v>
      </c>
      <c r="G28" s="4" t="s">
        <v>31</v>
      </c>
      <c r="H28" s="5">
        <v>8</v>
      </c>
      <c r="I28" s="6">
        <v>0</v>
      </c>
      <c r="J28" s="7">
        <f t="shared" si="0"/>
        <v>0</v>
      </c>
      <c r="K28" s="4" t="s">
        <v>134</v>
      </c>
      <c r="L28" s="4" t="s">
        <v>134</v>
      </c>
      <c r="M28" s="4" t="s">
        <v>80</v>
      </c>
      <c r="N28" s="4" t="s">
        <v>135</v>
      </c>
    </row>
    <row r="29" spans="1:14" ht="25.5" customHeight="1" x14ac:dyDescent="0.45">
      <c r="A29" s="4" t="s">
        <v>140</v>
      </c>
      <c r="B29" s="4" t="s">
        <v>130</v>
      </c>
      <c r="C29" s="4" t="s">
        <v>141</v>
      </c>
      <c r="D29" s="4"/>
      <c r="E29" s="4" t="s">
        <v>133</v>
      </c>
      <c r="F29" s="5">
        <v>4</v>
      </c>
      <c r="G29" s="4" t="s">
        <v>31</v>
      </c>
      <c r="H29" s="5">
        <v>4</v>
      </c>
      <c r="I29" s="6">
        <v>0</v>
      </c>
      <c r="J29" s="7">
        <f t="shared" si="0"/>
        <v>0</v>
      </c>
      <c r="K29" s="4" t="s">
        <v>134</v>
      </c>
      <c r="L29" s="4" t="s">
        <v>134</v>
      </c>
      <c r="M29" s="4" t="s">
        <v>80</v>
      </c>
      <c r="N29" s="4"/>
    </row>
    <row r="30" spans="1:14" ht="25.5" customHeight="1" x14ac:dyDescent="0.45">
      <c r="A30" s="4" t="s">
        <v>142</v>
      </c>
      <c r="B30" s="4" t="s">
        <v>130</v>
      </c>
      <c r="C30" s="4" t="s">
        <v>143</v>
      </c>
      <c r="D30" s="4"/>
      <c r="E30" s="4" t="s">
        <v>144</v>
      </c>
      <c r="F30" s="5">
        <v>2</v>
      </c>
      <c r="G30" s="4" t="s">
        <v>31</v>
      </c>
      <c r="H30" s="5">
        <v>2</v>
      </c>
      <c r="I30" s="6">
        <v>0</v>
      </c>
      <c r="J30" s="7">
        <f t="shared" si="0"/>
        <v>0</v>
      </c>
      <c r="K30" s="4" t="s">
        <v>134</v>
      </c>
      <c r="L30" s="4" t="s">
        <v>134</v>
      </c>
      <c r="M30" s="4" t="s">
        <v>80</v>
      </c>
      <c r="N30" s="4"/>
    </row>
    <row r="31" spans="1:14" ht="25.5" customHeight="1" x14ac:dyDescent="0.45">
      <c r="A31" s="4" t="s">
        <v>145</v>
      </c>
      <c r="B31" s="4" t="s">
        <v>130</v>
      </c>
      <c r="C31" s="4" t="s">
        <v>146</v>
      </c>
      <c r="D31" s="4"/>
      <c r="E31" s="4" t="s">
        <v>147</v>
      </c>
      <c r="F31" s="5">
        <v>2</v>
      </c>
      <c r="G31" s="4" t="s">
        <v>31</v>
      </c>
      <c r="H31" s="5">
        <v>2</v>
      </c>
      <c r="I31" s="6">
        <v>0</v>
      </c>
      <c r="J31" s="7">
        <f t="shared" si="0"/>
        <v>0</v>
      </c>
      <c r="K31" s="4" t="s">
        <v>134</v>
      </c>
      <c r="L31" s="4" t="s">
        <v>134</v>
      </c>
      <c r="M31" s="4" t="s">
        <v>80</v>
      </c>
      <c r="N31" s="4"/>
    </row>
    <row r="32" spans="1:14" ht="25.5" customHeight="1" x14ac:dyDescent="0.45">
      <c r="A32" s="4" t="s">
        <v>148</v>
      </c>
      <c r="B32" s="4" t="s">
        <v>130</v>
      </c>
      <c r="C32" s="4" t="s">
        <v>149</v>
      </c>
      <c r="D32" s="4"/>
      <c r="E32" s="4" t="s">
        <v>150</v>
      </c>
      <c r="F32" s="5">
        <v>4</v>
      </c>
      <c r="G32" s="4" t="s">
        <v>31</v>
      </c>
      <c r="H32" s="5">
        <v>4</v>
      </c>
      <c r="I32" s="6">
        <v>0</v>
      </c>
      <c r="J32" s="7">
        <f t="shared" si="0"/>
        <v>0</v>
      </c>
      <c r="K32" s="4" t="s">
        <v>134</v>
      </c>
      <c r="L32" s="4" t="s">
        <v>134</v>
      </c>
      <c r="M32" s="4" t="s">
        <v>80</v>
      </c>
      <c r="N32" s="4"/>
    </row>
    <row r="33" spans="1:14" ht="25.5" customHeight="1" x14ac:dyDescent="0.45">
      <c r="A33" s="4" t="s">
        <v>151</v>
      </c>
      <c r="B33" s="4" t="s">
        <v>130</v>
      </c>
      <c r="C33" s="4" t="s">
        <v>152</v>
      </c>
      <c r="D33" s="4"/>
      <c r="E33" s="4" t="s">
        <v>139</v>
      </c>
      <c r="F33" s="5">
        <v>8</v>
      </c>
      <c r="G33" s="4" t="s">
        <v>31</v>
      </c>
      <c r="H33" s="5">
        <v>8</v>
      </c>
      <c r="I33" s="6">
        <v>0</v>
      </c>
      <c r="J33" s="7">
        <f t="shared" si="0"/>
        <v>0</v>
      </c>
      <c r="K33" s="4" t="s">
        <v>134</v>
      </c>
      <c r="L33" s="4" t="s">
        <v>134</v>
      </c>
      <c r="M33" s="4" t="s">
        <v>80</v>
      </c>
      <c r="N33" s="4"/>
    </row>
    <row r="34" spans="1:14" ht="25.5" customHeight="1" x14ac:dyDescent="0.45">
      <c r="A34" s="4" t="s">
        <v>153</v>
      </c>
      <c r="B34" s="4" t="s">
        <v>130</v>
      </c>
      <c r="C34" s="4" t="s">
        <v>154</v>
      </c>
      <c r="D34" s="4"/>
      <c r="E34" s="4" t="s">
        <v>155</v>
      </c>
      <c r="F34" s="5">
        <v>15</v>
      </c>
      <c r="G34" s="4" t="s">
        <v>31</v>
      </c>
      <c r="H34" s="5">
        <v>15</v>
      </c>
      <c r="I34" s="6">
        <v>0</v>
      </c>
      <c r="J34" s="7">
        <f t="shared" si="0"/>
        <v>0</v>
      </c>
      <c r="K34" s="4" t="s">
        <v>134</v>
      </c>
      <c r="L34" s="4" t="s">
        <v>134</v>
      </c>
      <c r="M34" s="4" t="s">
        <v>80</v>
      </c>
      <c r="N34" s="4"/>
    </row>
    <row r="35" spans="1:14" ht="25.5" customHeight="1" x14ac:dyDescent="0.45">
      <c r="A35" s="4" t="s">
        <v>156</v>
      </c>
      <c r="B35" s="4" t="s">
        <v>130</v>
      </c>
      <c r="C35" s="4" t="s">
        <v>157</v>
      </c>
      <c r="D35" s="4"/>
      <c r="E35" s="4" t="s">
        <v>158</v>
      </c>
      <c r="F35" s="5">
        <v>15</v>
      </c>
      <c r="G35" s="4" t="s">
        <v>31</v>
      </c>
      <c r="H35" s="5">
        <v>15</v>
      </c>
      <c r="I35" s="6">
        <v>0</v>
      </c>
      <c r="J35" s="7">
        <f t="shared" si="0"/>
        <v>0</v>
      </c>
      <c r="K35" s="4" t="s">
        <v>134</v>
      </c>
      <c r="L35" s="4" t="s">
        <v>134</v>
      </c>
      <c r="M35" s="4" t="s">
        <v>80</v>
      </c>
      <c r="N35" s="4"/>
    </row>
    <row r="36" spans="1:14" ht="25.5" customHeight="1" x14ac:dyDescent="0.45">
      <c r="A36" s="4" t="s">
        <v>159</v>
      </c>
      <c r="B36" s="4" t="s">
        <v>130</v>
      </c>
      <c r="C36" s="4" t="s">
        <v>160</v>
      </c>
      <c r="D36" s="4"/>
      <c r="E36" s="4" t="s">
        <v>150</v>
      </c>
      <c r="F36" s="5">
        <v>4</v>
      </c>
      <c r="G36" s="4" t="s">
        <v>31</v>
      </c>
      <c r="H36" s="5">
        <v>4</v>
      </c>
      <c r="I36" s="6">
        <v>0</v>
      </c>
      <c r="J36" s="7">
        <f t="shared" si="0"/>
        <v>0</v>
      </c>
      <c r="K36" s="4" t="s">
        <v>134</v>
      </c>
      <c r="L36" s="4" t="s">
        <v>134</v>
      </c>
      <c r="M36" s="4" t="s">
        <v>80</v>
      </c>
      <c r="N36" s="4"/>
    </row>
    <row r="37" spans="1:14" ht="25.5" customHeight="1" x14ac:dyDescent="0.45">
      <c r="A37" s="4" t="s">
        <v>161</v>
      </c>
      <c r="B37" s="4" t="s">
        <v>61</v>
      </c>
      <c r="C37" s="4" t="s">
        <v>162</v>
      </c>
      <c r="D37" s="4"/>
      <c r="E37" s="4" t="s">
        <v>163</v>
      </c>
      <c r="F37" s="5">
        <v>2</v>
      </c>
      <c r="G37" s="4" t="s">
        <v>31</v>
      </c>
      <c r="H37" s="5">
        <v>2</v>
      </c>
      <c r="I37" s="6">
        <v>0</v>
      </c>
      <c r="J37" s="7">
        <f t="shared" si="0"/>
        <v>0</v>
      </c>
      <c r="K37" s="4" t="s">
        <v>134</v>
      </c>
      <c r="L37" s="4" t="s">
        <v>134</v>
      </c>
      <c r="M37" s="4" t="s">
        <v>80</v>
      </c>
      <c r="N37" s="4" t="s">
        <v>135</v>
      </c>
    </row>
    <row r="38" spans="1:14" ht="25.5" customHeight="1" x14ac:dyDescent="0.45">
      <c r="A38" s="4" t="s">
        <v>164</v>
      </c>
      <c r="B38" s="4" t="s">
        <v>61</v>
      </c>
      <c r="C38" s="4" t="s">
        <v>165</v>
      </c>
      <c r="D38" s="4"/>
      <c r="E38" s="4" t="s">
        <v>166</v>
      </c>
      <c r="F38" s="5">
        <v>2</v>
      </c>
      <c r="G38" s="4" t="s">
        <v>31</v>
      </c>
      <c r="H38" s="5">
        <v>2</v>
      </c>
      <c r="I38" s="6">
        <v>0</v>
      </c>
      <c r="J38" s="7">
        <f t="shared" si="0"/>
        <v>0</v>
      </c>
      <c r="K38" s="4" t="s">
        <v>134</v>
      </c>
      <c r="L38" s="4" t="s">
        <v>134</v>
      </c>
      <c r="M38" s="4" t="s">
        <v>80</v>
      </c>
      <c r="N38" s="4" t="s">
        <v>135</v>
      </c>
    </row>
    <row r="39" spans="1:14" ht="25.5" customHeight="1" x14ac:dyDescent="0.45">
      <c r="A39" s="4" t="s">
        <v>167</v>
      </c>
      <c r="B39" s="4" t="s">
        <v>168</v>
      </c>
      <c r="C39" s="4" t="s">
        <v>169</v>
      </c>
      <c r="D39" s="4"/>
      <c r="E39" s="4" t="s">
        <v>170</v>
      </c>
      <c r="F39" s="5">
        <v>1</v>
      </c>
      <c r="G39" s="4" t="s">
        <v>91</v>
      </c>
      <c r="H39" s="4" t="s">
        <v>171</v>
      </c>
      <c r="I39" s="6">
        <v>0</v>
      </c>
      <c r="J39" s="7">
        <f t="shared" si="0"/>
        <v>0</v>
      </c>
      <c r="K39" s="4" t="s">
        <v>172</v>
      </c>
      <c r="L39" s="4" t="s">
        <v>134</v>
      </c>
      <c r="M39" s="4" t="s">
        <v>80</v>
      </c>
      <c r="N39" s="4"/>
    </row>
    <row r="40" spans="1:14" ht="25.5" customHeight="1" x14ac:dyDescent="0.45">
      <c r="A40" s="4" t="s">
        <v>173</v>
      </c>
      <c r="B40" s="4" t="s">
        <v>168</v>
      </c>
      <c r="C40" s="4" t="s">
        <v>174</v>
      </c>
      <c r="D40" s="4"/>
      <c r="E40" s="4" t="s">
        <v>175</v>
      </c>
      <c r="F40" s="5">
        <v>1</v>
      </c>
      <c r="G40" s="4" t="s">
        <v>91</v>
      </c>
      <c r="H40" s="5">
        <v>4</v>
      </c>
      <c r="I40" s="6">
        <v>0</v>
      </c>
      <c r="J40" s="7">
        <f t="shared" si="0"/>
        <v>0</v>
      </c>
      <c r="K40" s="4" t="s">
        <v>172</v>
      </c>
      <c r="L40" s="4" t="s">
        <v>134</v>
      </c>
      <c r="M40" s="4" t="s">
        <v>80</v>
      </c>
      <c r="N40" s="4"/>
    </row>
    <row r="41" spans="1:14" ht="25.5" customHeight="1" x14ac:dyDescent="0.45">
      <c r="A41" s="4" t="s">
        <v>176</v>
      </c>
      <c r="B41" s="4" t="s">
        <v>168</v>
      </c>
      <c r="C41" s="4" t="s">
        <v>177</v>
      </c>
      <c r="D41" s="4"/>
      <c r="E41" s="4" t="s">
        <v>178</v>
      </c>
      <c r="F41" s="5">
        <v>1</v>
      </c>
      <c r="G41" s="4" t="s">
        <v>31</v>
      </c>
      <c r="H41" s="5">
        <v>1</v>
      </c>
      <c r="I41" s="6">
        <v>0</v>
      </c>
      <c r="J41" s="7">
        <f t="shared" si="0"/>
        <v>0</v>
      </c>
      <c r="K41" s="4" t="s">
        <v>172</v>
      </c>
      <c r="L41" s="4" t="s">
        <v>134</v>
      </c>
      <c r="M41" s="4" t="s">
        <v>80</v>
      </c>
      <c r="N41" s="4"/>
    </row>
    <row r="42" spans="1:14" ht="25.5" customHeight="1" x14ac:dyDescent="0.45">
      <c r="A42" s="4" t="s">
        <v>179</v>
      </c>
      <c r="B42" s="4" t="s">
        <v>168</v>
      </c>
      <c r="C42" s="4" t="s">
        <v>180</v>
      </c>
      <c r="D42" s="4"/>
      <c r="E42" s="4" t="s">
        <v>181</v>
      </c>
      <c r="F42" s="5">
        <v>1</v>
      </c>
      <c r="G42" s="4" t="s">
        <v>91</v>
      </c>
      <c r="H42" s="4" t="s">
        <v>182</v>
      </c>
      <c r="I42" s="6">
        <v>0</v>
      </c>
      <c r="J42" s="7">
        <f t="shared" si="0"/>
        <v>0</v>
      </c>
      <c r="K42" s="4" t="s">
        <v>172</v>
      </c>
      <c r="L42" s="4" t="s">
        <v>134</v>
      </c>
      <c r="M42" s="4" t="s">
        <v>80</v>
      </c>
      <c r="N42" s="4"/>
    </row>
    <row r="43" spans="1:14" ht="25.5" customHeight="1" x14ac:dyDescent="0.45">
      <c r="A43" s="4" t="s">
        <v>183</v>
      </c>
      <c r="B43" s="4" t="s">
        <v>168</v>
      </c>
      <c r="C43" s="4" t="s">
        <v>184</v>
      </c>
      <c r="D43" s="4"/>
      <c r="E43" s="4" t="s">
        <v>185</v>
      </c>
      <c r="F43" s="5">
        <v>1</v>
      </c>
      <c r="G43" s="4" t="s">
        <v>91</v>
      </c>
      <c r="H43" s="4" t="s">
        <v>182</v>
      </c>
      <c r="I43" s="6">
        <v>0</v>
      </c>
      <c r="J43" s="7">
        <f t="shared" si="0"/>
        <v>0</v>
      </c>
      <c r="K43" s="4" t="s">
        <v>172</v>
      </c>
      <c r="L43" s="4" t="s">
        <v>134</v>
      </c>
      <c r="M43" s="4" t="s">
        <v>80</v>
      </c>
      <c r="N43" s="4"/>
    </row>
    <row r="44" spans="1:14" ht="25.5" customHeight="1" x14ac:dyDescent="0.45">
      <c r="A44" s="4" t="s">
        <v>186</v>
      </c>
      <c r="B44" s="4" t="s">
        <v>187</v>
      </c>
      <c r="C44" s="4" t="s">
        <v>188</v>
      </c>
      <c r="D44" s="4" t="s">
        <v>189</v>
      </c>
      <c r="E44" s="4" t="s">
        <v>190</v>
      </c>
      <c r="F44" s="5">
        <v>1</v>
      </c>
      <c r="G44" s="4" t="s">
        <v>31</v>
      </c>
      <c r="H44" s="5">
        <v>1</v>
      </c>
      <c r="I44" s="6">
        <v>0</v>
      </c>
      <c r="J44" s="7">
        <f t="shared" si="0"/>
        <v>0</v>
      </c>
      <c r="K44" s="4" t="s">
        <v>191</v>
      </c>
      <c r="L44" s="4" t="s">
        <v>134</v>
      </c>
      <c r="M44" s="4" t="s">
        <v>80</v>
      </c>
      <c r="N44" s="4" t="s">
        <v>192</v>
      </c>
    </row>
    <row r="45" spans="1:14" ht="25.5" customHeight="1" x14ac:dyDescent="0.45">
      <c r="A45" s="4" t="s">
        <v>193</v>
      </c>
      <c r="B45" s="4" t="s">
        <v>168</v>
      </c>
      <c r="C45" s="4" t="s">
        <v>194</v>
      </c>
      <c r="D45" s="4"/>
      <c r="E45" s="4" t="s">
        <v>195</v>
      </c>
      <c r="F45" s="5">
        <v>1</v>
      </c>
      <c r="G45" s="4" t="s">
        <v>91</v>
      </c>
      <c r="H45" s="4" t="s">
        <v>182</v>
      </c>
      <c r="I45" s="6">
        <v>0</v>
      </c>
      <c r="J45" s="7">
        <f t="shared" si="0"/>
        <v>0</v>
      </c>
      <c r="K45" s="4" t="s">
        <v>172</v>
      </c>
      <c r="L45" s="4" t="s">
        <v>134</v>
      </c>
      <c r="M45" s="4" t="s">
        <v>80</v>
      </c>
      <c r="N45" s="4" t="s">
        <v>196</v>
      </c>
    </row>
    <row r="47" spans="1:14" x14ac:dyDescent="0.45">
      <c r="E47" s="8" t="s">
        <v>197</v>
      </c>
      <c r="J47" s="10">
        <f>SUM(J5:J14)</f>
        <v>53.300000000000004</v>
      </c>
      <c r="K47" s="2"/>
    </row>
    <row r="48" spans="1:14" x14ac:dyDescent="0.45">
      <c r="E48" s="9"/>
    </row>
    <row r="49" spans="5:10" x14ac:dyDescent="0.45">
      <c r="E49" s="9" t="s">
        <v>198</v>
      </c>
      <c r="J49" s="9" t="str">
        <f>COUNTIF(L5:L45,"Event shop (ticket)")&amp;" / "&amp;COUNTIF(L5:L45,"MCIC Makerspace")&amp;" / "&amp;COUNTIF(L5:L45,"Already owned")</f>
        <v>12 / 19 / 0</v>
      </c>
    </row>
  </sheetData>
  <autoFilter ref="A4:N45" xr:uid="{00000000-0009-0000-0000-000000000000}"/>
  <pageMargins left="0.75" right="0.75" top="1" bottom="1" header="0.5" footer="0.5"/>
  <pageSetup paperSize="9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SeedStick team</dc:creator>
  <cp:lastModifiedBy>Niels Nahrstedt</cp:lastModifiedBy>
  <dcterms:created xsi:type="dcterms:W3CDTF">2026-10-21T04:27:26Z</dcterms:created>
  <dcterms:modified xsi:type="dcterms:W3CDTF">2026-10-24T20:06:45Z</dcterms:modified>
</cp:coreProperties>
</file>